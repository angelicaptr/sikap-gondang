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KN Desa Gondang\"/>
    </mc:Choice>
  </mc:AlternateContent>
  <xr:revisionPtr revIDLastSave="0" documentId="13_ncr:1_{0AEA30F2-FCA5-4488-8394-A8E088FB641E}" xr6:coauthVersionLast="47" xr6:coauthVersionMax="47" xr10:uidLastSave="{00000000-0000-0000-0000-000000000000}"/>
  <bookViews>
    <workbookView xWindow="-110" yWindow="-110" windowWidth="19420" windowHeight="10300" xr2:uid="{5649B3B0-34AD-4FCD-9421-8D34ABA3FE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6" i="1"/>
  <c r="H17" i="1" s="1"/>
  <c r="H12" i="1"/>
  <c r="H13" i="1"/>
  <c r="H10" i="1"/>
  <c r="H9" i="1"/>
  <c r="H6" i="1"/>
  <c r="H19" i="1" s="1"/>
  <c r="H14" i="1" l="1"/>
  <c r="H20" i="1"/>
  <c r="H21" i="1" s="1"/>
</calcChain>
</file>

<file path=xl/sharedStrings.xml><?xml version="1.0" encoding="utf-8"?>
<sst xmlns="http://schemas.openxmlformats.org/spreadsheetml/2006/main" count="33" uniqueCount="24">
  <si>
    <t>A. PEMASUKAN DANA</t>
  </si>
  <si>
    <t>Total Pemasukan</t>
  </si>
  <si>
    <t>B. PENGELUARAN DANA</t>
  </si>
  <si>
    <t>1. Kesekretariatan</t>
  </si>
  <si>
    <t>Lembar</t>
  </si>
  <si>
    <t>x</t>
  </si>
  <si>
    <t>Jumlah Kesekretariatan</t>
  </si>
  <si>
    <t>2. Acara</t>
  </si>
  <si>
    <t>Buah</t>
  </si>
  <si>
    <t>Jumlah Acara</t>
  </si>
  <si>
    <t>C. TOTAL</t>
  </si>
  <si>
    <t>Total Pengeluaran</t>
  </si>
  <si>
    <t>Total Saldo</t>
  </si>
  <si>
    <t>MULTIDISIPLIN 1 PENOMORAN RUMAH</t>
  </si>
  <si>
    <t>Iuran Kas</t>
  </si>
  <si>
    <t>Print List Daftar Rumah</t>
  </si>
  <si>
    <t>Print SOP Penomoran</t>
  </si>
  <si>
    <t>Jilid</t>
  </si>
  <si>
    <t>RENCANA ANGGARAN DANA</t>
  </si>
  <si>
    <t>Print BAST</t>
  </si>
  <si>
    <t>Fotokopi SOP</t>
  </si>
  <si>
    <t>Jilid SOP</t>
  </si>
  <si>
    <t xml:space="preserve"> </t>
  </si>
  <si>
    <t>Plat Nomor Rumah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</si>
</sst>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421]* #,##0_-;\-[$Rp-421]* #,##0_-;_-[$Rp-421]* &quot;-&quot;??_-;_-@_-"/>
    <numFmt numFmtId="165" formatCode="_-[$Rp-421]* #,##0_-;\-[$Rp-421]* #,##0_-;_-[$Rp-421]* &quot;-&quot;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EAAD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64" fontId="2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/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center"/>
    </xf>
    <xf numFmtId="164" fontId="1" fillId="0" borderId="1" xfId="0" applyNumberFormat="1" applyFont="1" applyBorder="1"/>
    <xf numFmtId="164" fontId="0" fillId="0" borderId="0" xfId="0" applyNumberForma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F0069-48AE-4210-988A-DCE269398E89}">
  <dimension ref="B2:K21"/>
  <sheetViews>
    <sheetView tabSelected="1" workbookViewId="0">
      <selection activeCell="K12" sqref="K12"/>
    </sheetView>
  </sheetViews>
  <sheetFormatPr defaultRowHeight="14.5" x14ac:dyDescent="0.35"/>
  <cols>
    <col min="3" max="3" width="23.81640625" bestFit="1" customWidth="1"/>
    <col min="7" max="7" width="10.36328125" bestFit="1" customWidth="1"/>
    <col min="8" max="8" width="14.08984375" bestFit="1" customWidth="1"/>
    <col min="9" max="9" width="9.7265625" bestFit="1" customWidth="1"/>
  </cols>
  <sheetData>
    <row r="2" spans="2:11" x14ac:dyDescent="0.35">
      <c r="B2" s="22" t="s">
        <v>18</v>
      </c>
      <c r="C2" s="22"/>
      <c r="D2" s="22"/>
      <c r="E2" s="22"/>
      <c r="F2" s="22"/>
      <c r="G2" s="22"/>
      <c r="H2" s="22"/>
    </row>
    <row r="3" spans="2:11" x14ac:dyDescent="0.35">
      <c r="B3" s="22" t="s">
        <v>13</v>
      </c>
      <c r="C3" s="22"/>
      <c r="D3" s="22"/>
      <c r="E3" s="22"/>
      <c r="F3" s="22"/>
      <c r="G3" s="22"/>
      <c r="H3" s="22"/>
    </row>
    <row r="4" spans="2:11" x14ac:dyDescent="0.35">
      <c r="B4" s="23" t="s">
        <v>0</v>
      </c>
      <c r="C4" s="23"/>
      <c r="D4" s="23"/>
      <c r="E4" s="23"/>
      <c r="F4" s="23"/>
      <c r="G4" s="23"/>
      <c r="H4" s="23"/>
    </row>
    <row r="5" spans="2:11" x14ac:dyDescent="0.35">
      <c r="B5" s="24" t="s">
        <v>14</v>
      </c>
      <c r="C5" s="24"/>
      <c r="D5" s="24"/>
      <c r="E5" s="24"/>
      <c r="F5" s="24"/>
      <c r="G5" s="24"/>
      <c r="H5" s="1">
        <v>1252000</v>
      </c>
    </row>
    <row r="6" spans="2:11" x14ac:dyDescent="0.35">
      <c r="B6" s="24" t="s">
        <v>1</v>
      </c>
      <c r="C6" s="24"/>
      <c r="D6" s="24"/>
      <c r="E6" s="24"/>
      <c r="F6" s="24"/>
      <c r="G6" s="24"/>
      <c r="H6" s="1">
        <f>H5</f>
        <v>1252000</v>
      </c>
    </row>
    <row r="7" spans="2:11" x14ac:dyDescent="0.35">
      <c r="B7" s="23" t="s">
        <v>2</v>
      </c>
      <c r="C7" s="23"/>
      <c r="D7" s="23"/>
      <c r="E7" s="23"/>
      <c r="F7" s="23"/>
      <c r="G7" s="23"/>
      <c r="H7" s="23"/>
    </row>
    <row r="8" spans="2:11" x14ac:dyDescent="0.35">
      <c r="B8" s="24" t="s">
        <v>3</v>
      </c>
      <c r="C8" s="24"/>
      <c r="D8" s="24"/>
      <c r="E8" s="24"/>
      <c r="F8" s="24"/>
      <c r="G8" s="24"/>
      <c r="H8" s="2"/>
    </row>
    <row r="9" spans="2:11" x14ac:dyDescent="0.35">
      <c r="B9" s="2"/>
      <c r="C9" s="3" t="s">
        <v>15</v>
      </c>
      <c r="D9" s="4">
        <v>2</v>
      </c>
      <c r="E9" s="4" t="s">
        <v>4</v>
      </c>
      <c r="F9" s="4" t="s">
        <v>5</v>
      </c>
      <c r="G9" s="1">
        <v>2000</v>
      </c>
      <c r="H9" s="1">
        <f>D9*G9</f>
        <v>4000</v>
      </c>
    </row>
    <row r="10" spans="2:11" x14ac:dyDescent="0.35">
      <c r="B10" s="2"/>
      <c r="C10" s="3" t="s">
        <v>16</v>
      </c>
      <c r="D10" s="4">
        <v>22</v>
      </c>
      <c r="E10" s="4" t="s">
        <v>4</v>
      </c>
      <c r="F10" s="4" t="s">
        <v>5</v>
      </c>
      <c r="G10" s="1">
        <v>1000</v>
      </c>
      <c r="H10" s="1">
        <f>D10*G10</f>
        <v>22000</v>
      </c>
    </row>
    <row r="11" spans="2:11" x14ac:dyDescent="0.35">
      <c r="B11" s="5"/>
      <c r="C11" s="3" t="s">
        <v>19</v>
      </c>
      <c r="D11" s="6">
        <v>1</v>
      </c>
      <c r="E11" s="6" t="s">
        <v>4</v>
      </c>
      <c r="F11" s="6" t="s">
        <v>5</v>
      </c>
      <c r="G11" s="1">
        <v>1000</v>
      </c>
      <c r="H11" s="1">
        <f>D11*G11</f>
        <v>1000</v>
      </c>
      <c r="K11" t="s">
        <v>22</v>
      </c>
    </row>
    <row r="12" spans="2:11" x14ac:dyDescent="0.35">
      <c r="B12" s="5"/>
      <c r="C12" s="3" t="s">
        <v>20</v>
      </c>
      <c r="D12" s="6">
        <v>22</v>
      </c>
      <c r="E12" s="6" t="s">
        <v>4</v>
      </c>
      <c r="F12" s="6" t="s">
        <v>5</v>
      </c>
      <c r="G12" s="1">
        <v>500</v>
      </c>
      <c r="H12" s="1">
        <f>D12*G12</f>
        <v>11000</v>
      </c>
    </row>
    <row r="13" spans="2:11" x14ac:dyDescent="0.35">
      <c r="B13" s="2"/>
      <c r="C13" s="3" t="s">
        <v>21</v>
      </c>
      <c r="D13" s="4">
        <v>2</v>
      </c>
      <c r="E13" s="4" t="s">
        <v>17</v>
      </c>
      <c r="F13" s="4" t="s">
        <v>5</v>
      </c>
      <c r="G13" s="1">
        <v>5000</v>
      </c>
      <c r="H13" s="1">
        <f t="shared" ref="H13" si="0">D13*G13</f>
        <v>10000</v>
      </c>
    </row>
    <row r="14" spans="2:11" x14ac:dyDescent="0.35">
      <c r="B14" s="2"/>
      <c r="C14" s="25" t="s">
        <v>6</v>
      </c>
      <c r="D14" s="26"/>
      <c r="E14" s="26"/>
      <c r="F14" s="26"/>
      <c r="G14" s="27"/>
      <c r="H14" s="8">
        <f>SUM(H9:H13)</f>
        <v>48000</v>
      </c>
      <c r="I14" s="11"/>
    </row>
    <row r="15" spans="2:11" x14ac:dyDescent="0.35">
      <c r="B15" s="24" t="s">
        <v>7</v>
      </c>
      <c r="C15" s="24"/>
      <c r="D15" s="24"/>
      <c r="E15" s="24"/>
      <c r="F15" s="24"/>
      <c r="G15" s="24"/>
      <c r="H15" s="24"/>
    </row>
    <row r="16" spans="2:11" x14ac:dyDescent="0.35">
      <c r="B16" s="5"/>
      <c r="C16" s="3" t="s">
        <v>23</v>
      </c>
      <c r="D16" s="6">
        <v>56</v>
      </c>
      <c r="E16" s="6" t="s">
        <v>8</v>
      </c>
      <c r="F16" s="6" t="s">
        <v>5</v>
      </c>
      <c r="G16" s="7">
        <v>21500</v>
      </c>
      <c r="H16" s="7">
        <f>G16*D16</f>
        <v>1204000</v>
      </c>
    </row>
    <row r="17" spans="2:8" x14ac:dyDescent="0.35">
      <c r="B17" s="5"/>
      <c r="C17" s="28" t="s">
        <v>9</v>
      </c>
      <c r="D17" s="29"/>
      <c r="E17" s="29"/>
      <c r="F17" s="29"/>
      <c r="G17" s="29"/>
      <c r="H17" s="7">
        <f>SUM(H16:H16)</f>
        <v>1204000</v>
      </c>
    </row>
    <row r="18" spans="2:8" x14ac:dyDescent="0.35">
      <c r="B18" s="12" t="s">
        <v>10</v>
      </c>
      <c r="C18" s="13"/>
      <c r="D18" s="13"/>
      <c r="E18" s="13"/>
      <c r="F18" s="13"/>
      <c r="G18" s="13"/>
      <c r="H18" s="14"/>
    </row>
    <row r="19" spans="2:8" x14ac:dyDescent="0.35">
      <c r="B19" s="15" t="s">
        <v>1</v>
      </c>
      <c r="C19" s="15"/>
      <c r="D19" s="15"/>
      <c r="E19" s="15"/>
      <c r="F19" s="15"/>
      <c r="G19" s="15"/>
      <c r="H19" s="9">
        <f>H6</f>
        <v>1252000</v>
      </c>
    </row>
    <row r="20" spans="2:8" x14ac:dyDescent="0.35">
      <c r="B20" s="16" t="s">
        <v>11</v>
      </c>
      <c r="C20" s="17"/>
      <c r="D20" s="17"/>
      <c r="E20" s="17"/>
      <c r="F20" s="17"/>
      <c r="G20" s="18"/>
      <c r="H20" s="8">
        <f>H14+H17</f>
        <v>1252000</v>
      </c>
    </row>
    <row r="21" spans="2:8" x14ac:dyDescent="0.35">
      <c r="B21" s="19" t="s">
        <v>12</v>
      </c>
      <c r="C21" s="20"/>
      <c r="D21" s="20"/>
      <c r="E21" s="20"/>
      <c r="F21" s="20"/>
      <c r="G21" s="21"/>
      <c r="H21" s="10">
        <f>H19-H20</f>
        <v>0</v>
      </c>
    </row>
  </sheetData>
  <mergeCells count="14">
    <mergeCell ref="B18:H18"/>
    <mergeCell ref="B19:G19"/>
    <mergeCell ref="B20:G20"/>
    <mergeCell ref="B21:G21"/>
    <mergeCell ref="B2:H2"/>
    <mergeCell ref="B3:H3"/>
    <mergeCell ref="B4:H4"/>
    <mergeCell ref="B5:G5"/>
    <mergeCell ref="B6:G6"/>
    <mergeCell ref="B7:H7"/>
    <mergeCell ref="B8:G8"/>
    <mergeCell ref="C14:G14"/>
    <mergeCell ref="B15:H15"/>
    <mergeCell ref="C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 Nova Fitriana</dc:creator>
  <cp:lastModifiedBy>ASUS</cp:lastModifiedBy>
  <dcterms:created xsi:type="dcterms:W3CDTF">2026-08-12T16:59:52Z</dcterms:created>
  <dcterms:modified xsi:type="dcterms:W3CDTF">2026-08-13T18:32:55Z</dcterms:modified>
</cp:coreProperties>
</file>